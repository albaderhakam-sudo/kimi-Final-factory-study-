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kam\OneDrive\Desktop\New Data HRD\"/>
    </mc:Choice>
  </mc:AlternateContent>
  <xr:revisionPtr revIDLastSave="0" documentId="13_ncr:1_{2D972590-3B32-4E0C-9D3B-FCF0D5BAE5FC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Sheet1" sheetId="10" r:id="rId1"/>
    <sheet name="Sheet2" sheetId="11" r:id="rId2"/>
    <sheet name="Pricing" sheetId="4" state="hidden" r:id="rId3"/>
  </sheets>
  <definedNames>
    <definedName name="valuevx">42.314159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1" l="1"/>
  <c r="E19" i="11"/>
  <c r="E18" i="11"/>
  <c r="E17" i="11"/>
  <c r="E16" i="11"/>
  <c r="E15" i="11"/>
  <c r="E20" i="11" s="1"/>
  <c r="E14" i="11"/>
  <c r="E13" i="11"/>
  <c r="E12" i="11"/>
  <c r="E11" i="11"/>
  <c r="E10" i="11"/>
  <c r="E9" i="11"/>
  <c r="G15" i="4"/>
  <c r="H15" i="4" s="1"/>
  <c r="G12" i="4"/>
  <c r="H12" i="4" s="1"/>
  <c r="G9" i="4"/>
  <c r="H9" i="4" s="1"/>
  <c r="G6" i="4"/>
  <c r="H6" i="4" s="1"/>
  <c r="G3" i="4"/>
  <c r="H3" i="4" s="1"/>
</calcChain>
</file>

<file path=xl/sharedStrings.xml><?xml version="1.0" encoding="utf-8"?>
<sst xmlns="http://schemas.openxmlformats.org/spreadsheetml/2006/main" count="175" uniqueCount="118">
  <si>
    <t>Size</t>
  </si>
  <si>
    <t>1.3T</t>
  </si>
  <si>
    <t>2.5T</t>
  </si>
  <si>
    <t>5T</t>
  </si>
  <si>
    <t>10T</t>
  </si>
  <si>
    <t>20T</t>
  </si>
  <si>
    <t>Product</t>
  </si>
  <si>
    <t>Raw Material Cost</t>
  </si>
  <si>
    <t>Selling</t>
  </si>
  <si>
    <t>Item</t>
  </si>
  <si>
    <t>Raw Material</t>
  </si>
  <si>
    <t>Supplier</t>
  </si>
  <si>
    <t>price (cny)</t>
  </si>
  <si>
    <t>Surface
Plating</t>
  </si>
  <si>
    <t>Total (cny)</t>
  </si>
  <si>
    <t>Total (usd)</t>
  </si>
  <si>
    <t>Neuro Final FOB price +13% mangment fee (usd)</t>
  </si>
  <si>
    <t>Neuro Final FOB price without mangment fee (usd)</t>
  </si>
  <si>
    <t>Selling Price (usd)</t>
  </si>
  <si>
    <t>Lifting Clutch</t>
  </si>
  <si>
    <t>Handle</t>
  </si>
  <si>
    <t>qingdao hendan</t>
  </si>
  <si>
    <t>U bar</t>
  </si>
  <si>
    <t>Casting Head</t>
  </si>
  <si>
    <t>ningbo xinchan</t>
  </si>
  <si>
    <t>wuxi</t>
  </si>
  <si>
    <t>Item name</t>
  </si>
  <si>
    <t>KK LIFTING CLUTCH 1.3T</t>
  </si>
  <si>
    <t>KK LIFTING CLUTCH 2.5T</t>
  </si>
  <si>
    <t>KK LIFTING CLUTCH 5T</t>
  </si>
  <si>
    <t>KK LIFTING CLUTCH 10T</t>
  </si>
  <si>
    <t>KK LIFTING CLUTCH 20T</t>
  </si>
  <si>
    <t>KK LIFTING CLUTCH 32T</t>
  </si>
  <si>
    <t>Cast in loop 0.8Tx210</t>
  </si>
  <si>
    <t>Cast in loop
1.2Tx225</t>
  </si>
  <si>
    <t>Cast in loop
1.6Tx235</t>
  </si>
  <si>
    <t>Cast in loop
1.6Tx330</t>
  </si>
  <si>
    <t>Cast in loop
1.6Tx460</t>
  </si>
  <si>
    <t>Cast in loop
2Tx280</t>
  </si>
  <si>
    <t>Cast in loop
2.5Tx315</t>
  </si>
  <si>
    <t>Cast in loop
2.5Tx460</t>
  </si>
  <si>
    <t>Cast in loop
4Tx340</t>
  </si>
  <si>
    <t>Cast in loop
5.2Tx360</t>
  </si>
  <si>
    <t>Cast in loop
5.2Tx460</t>
  </si>
  <si>
    <t>Cast in loop
6.3Tx390</t>
  </si>
  <si>
    <t>Cast in loop
8Tx460</t>
  </si>
  <si>
    <t>Cast in loop
10Tx520</t>
  </si>
  <si>
    <t>Combination Pin Anchor Ring Clutch 2.5T</t>
  </si>
  <si>
    <t>Combination Pin Anchor Ring Clutch 10T</t>
  </si>
  <si>
    <t>Spread Anchor Combination Ring Clutch 2.5T</t>
  </si>
  <si>
    <t>Spread Anchor Combination Ring Clutch 1.25T</t>
  </si>
  <si>
    <t>Combination Pin Anchor Ring Clutch
5T</t>
  </si>
  <si>
    <t xml:space="preserve">Sealing Cap
M12
</t>
  </si>
  <si>
    <t xml:space="preserve">Sealing Cap
M16
</t>
  </si>
  <si>
    <t xml:space="preserve">Sealing Cap
M20
</t>
  </si>
  <si>
    <t xml:space="preserve">Sealing Cap
M24
</t>
  </si>
  <si>
    <t xml:space="preserve">Sealing Cap
M30
</t>
  </si>
  <si>
    <t xml:space="preserve">SPREAD ANCHOR RECESS FORMER 1.25T
</t>
  </si>
  <si>
    <t xml:space="preserve">SPREAD ANCHOR RECESS FORMER 2.5T
</t>
  </si>
  <si>
    <t xml:space="preserve">SPREAD ANCHOR RECESS FORMER 5T
</t>
  </si>
  <si>
    <t xml:space="preserve">SPREAD ANCHOR RECESS FORMER 10T
</t>
  </si>
  <si>
    <t>Nailing Plate M10</t>
  </si>
  <si>
    <t>Nailing Plate M12</t>
  </si>
  <si>
    <t>Nailing Plate M16</t>
  </si>
  <si>
    <t>Nailing Plate M20</t>
  </si>
  <si>
    <t>Nailing Plate M24</t>
  </si>
  <si>
    <t>Nailing Plate M30</t>
  </si>
  <si>
    <t>Nailing Plate M36</t>
  </si>
  <si>
    <t>Large Nailing Plate M12</t>
  </si>
  <si>
    <t>Large Nailing Plate M52</t>
  </si>
  <si>
    <t>Large Nailing Plate M16</t>
  </si>
  <si>
    <t>Large Nailing Plate M20</t>
  </si>
  <si>
    <t>Large Nailing Plate M24</t>
  </si>
  <si>
    <t>Large Nailing Plate M30</t>
  </si>
  <si>
    <t>Large Nailing Plate M36</t>
  </si>
  <si>
    <t>Large Nailing Plate M42</t>
  </si>
  <si>
    <t>WZP Anchor Pin Fixing Plate 1.3T</t>
  </si>
  <si>
    <t>WZP Anchor Pin Fixing Plate 2.5T</t>
  </si>
  <si>
    <t>WZP Anchor Pin Fixing Plate 5T</t>
  </si>
  <si>
    <t>WZP Anchor Pin Fixing Plate 10T</t>
  </si>
  <si>
    <t>WZP Anchor Pin Fixing Plate 20T</t>
  </si>
  <si>
    <t xml:space="preserve">Pin Anchor Rubber Former 1.3T
</t>
  </si>
  <si>
    <t xml:space="preserve">Pin Anchor Rubber Former 5T
</t>
  </si>
  <si>
    <t xml:space="preserve">Pin Anchor Rubber Former 7.5T
</t>
  </si>
  <si>
    <t xml:space="preserve">Pin Anchor Rubber Former 10T
</t>
  </si>
  <si>
    <t xml:space="preserve">Pin Anchor Rubber Former 20T
</t>
  </si>
  <si>
    <t xml:space="preserve">Pin Anchor Rubber Former 2.5T
</t>
  </si>
  <si>
    <t xml:space="preserve">Qty sold from jan to jun 2026 </t>
  </si>
  <si>
    <t xml:space="preserve">Raw matielrs price per item </t>
  </si>
  <si>
    <t>production speed per hour</t>
  </si>
  <si>
    <t xml:space="preserve">Labor and employes </t>
  </si>
  <si>
    <t>Position</t>
  </si>
  <si>
    <t>No</t>
  </si>
  <si>
    <t>Descripe</t>
  </si>
  <si>
    <t xml:space="preserve">Amount (CNY) </t>
  </si>
  <si>
    <t>Yearly</t>
  </si>
  <si>
    <t>HAKAM</t>
  </si>
  <si>
    <t>General Manager</t>
  </si>
  <si>
    <t>abbi</t>
  </si>
  <si>
    <t>General Manager Assestent</t>
  </si>
  <si>
    <t>Lihua</t>
  </si>
  <si>
    <t>Factory Manager</t>
  </si>
  <si>
    <t>Ajiao</t>
  </si>
  <si>
    <t>Accountent</t>
  </si>
  <si>
    <t>Eva</t>
  </si>
  <si>
    <t>HR</t>
  </si>
  <si>
    <t>Welder</t>
  </si>
  <si>
    <t>Laohe</t>
  </si>
  <si>
    <t>Labor (retired)</t>
  </si>
  <si>
    <t>Tangshu</t>
  </si>
  <si>
    <t>QC</t>
  </si>
  <si>
    <t>Jia</t>
  </si>
  <si>
    <t>Labor</t>
  </si>
  <si>
    <t>Tangenshu wife</t>
  </si>
  <si>
    <t>labor</t>
  </si>
  <si>
    <t>Xiaoyan</t>
  </si>
  <si>
    <t>machinary man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</si>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</sst>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 "/>
    <numFmt numFmtId="165" formatCode="_ &quot;￥&quot;* #,##0.00_ ;_ &quot;￥&quot;* \-#,##0.00_ ;_ &quot;￥&quot;* &quot;-&quot;??_ ;_ @_ "/>
    <numFmt numFmtId="166" formatCode="_ * #,##0.00_ ;_ * \-#,##0.00_ ;_ * &quot;-&quot;??_ ;_ @_ "/>
    <numFmt numFmtId="167" formatCode="0.000_ "/>
    <numFmt numFmtId="168" formatCode="0.00000"/>
    <numFmt numFmtId="169" formatCode="0.0000"/>
    <numFmt numFmtId="170" formatCode="0.000"/>
    <numFmt numFmtId="171" formatCode="#,##0_ ;\-#,##0\ "/>
    <numFmt numFmtId="172" formatCode="0_ "/>
  </numFmts>
  <fonts count="10">
    <font>
      <sz val="10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4"/>
      <name val="等线"/>
    </font>
    <font>
      <sz val="12"/>
      <name val="宋体"/>
      <charset val="134"/>
    </font>
    <font>
      <sz val="10"/>
      <name val="Verdana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C5CAD3"/>
      </patternFill>
    </fill>
    <fill>
      <patternFill patternType="solid">
        <fgColor rgb="FF99DDFF"/>
      </patternFill>
    </fill>
    <fill>
      <patternFill patternType="solid">
        <fgColor rgb="FFFFEEAD"/>
      </patternFill>
    </fill>
    <fill>
      <patternFill patternType="solid">
        <fgColor rgb="FF99DDFF"/>
      </patternFill>
    </fill>
    <fill>
      <patternFill patternType="solid">
        <fgColor rgb="FFFFEEAD"/>
      </patternFill>
    </fill>
    <fill>
      <patternFill patternType="none">
        <fgColor auto="1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3EAD5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7">
    <xf numFmtId="0" fontId="0" fillId="0" borderId="0"/>
    <xf numFmtId="0" fontId="3" fillId="7" borderId="1">
      <alignment vertical="center"/>
    </xf>
    <xf numFmtId="165" fontId="3" fillId="7" borderId="1" applyFont="0" applyFill="0" applyBorder="0" applyAlignment="0" applyProtection="0">
      <alignment vertical="center"/>
    </xf>
    <xf numFmtId="0" fontId="1" fillId="7" borderId="1">
      <alignment vertical="center"/>
    </xf>
    <xf numFmtId="0" fontId="3" fillId="7" borderId="1"/>
    <xf numFmtId="9" fontId="1" fillId="7" borderId="1" applyFont="0" applyFill="0" applyBorder="0" applyAlignment="0" applyProtection="0">
      <alignment vertical="center"/>
    </xf>
    <xf numFmtId="166" fontId="4" fillId="7" borderId="1" applyFont="0" applyFill="0" applyBorder="0" applyAlignment="0" applyProtection="0"/>
  </cellStyleXfs>
  <cellXfs count="57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left" vertical="center"/>
    </xf>
    <xf numFmtId="0" fontId="6" fillId="8" borderId="3" xfId="1" applyFont="1" applyFill="1" applyBorder="1" applyAlignment="1">
      <alignment horizontal="left" vertical="center"/>
    </xf>
    <xf numFmtId="167" fontId="5" fillId="8" borderId="3" xfId="1" applyNumberFormat="1" applyFont="1" applyFill="1" applyBorder="1" applyAlignment="1">
      <alignment horizontal="left" wrapText="1"/>
    </xf>
    <xf numFmtId="170" fontId="6" fillId="8" borderId="3" xfId="1" applyNumberFormat="1" applyFont="1" applyFill="1" applyBorder="1" applyAlignment="1">
      <alignment horizontal="left" vertical="center"/>
    </xf>
    <xf numFmtId="170" fontId="6" fillId="8" borderId="3" xfId="0" applyNumberFormat="1" applyFont="1" applyFill="1" applyBorder="1" applyAlignment="1">
      <alignment horizontal="left" vertical="center"/>
    </xf>
    <xf numFmtId="0" fontId="5" fillId="9" borderId="3" xfId="1" applyFont="1" applyFill="1" applyBorder="1" applyAlignment="1">
      <alignment horizontal="left" vertical="center"/>
    </xf>
    <xf numFmtId="170" fontId="7" fillId="0" borderId="3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/>
    <xf numFmtId="169" fontId="7" fillId="0" borderId="3" xfId="0" applyNumberFormat="1" applyFont="1" applyBorder="1" applyAlignment="1">
      <alignment horizontal="left"/>
    </xf>
    <xf numFmtId="0" fontId="5" fillId="9" borderId="3" xfId="1" applyFont="1" applyFill="1" applyBorder="1" applyAlignment="1">
      <alignment horizontal="left" wrapText="1"/>
    </xf>
    <xf numFmtId="0" fontId="5" fillId="9" borderId="3" xfId="0" applyFont="1" applyFill="1" applyBorder="1" applyAlignment="1">
      <alignment horizontal="left" wrapText="1"/>
    </xf>
    <xf numFmtId="0" fontId="7" fillId="9" borderId="3" xfId="0" applyFont="1" applyFill="1" applyBorder="1" applyAlignment="1">
      <alignment horizontal="left" vertical="top" wrapText="1"/>
    </xf>
    <xf numFmtId="0" fontId="7" fillId="9" borderId="3" xfId="0" applyFont="1" applyFill="1" applyBorder="1" applyAlignment="1">
      <alignment horizontal="left" wrapText="1"/>
    </xf>
    <xf numFmtId="0" fontId="6" fillId="9" borderId="3" xfId="0" applyFont="1" applyFill="1" applyBorder="1" applyAlignment="1">
      <alignment horizontal="left" vertical="center" wrapText="1"/>
    </xf>
    <xf numFmtId="168" fontId="7" fillId="0" borderId="3" xfId="0" applyNumberFormat="1" applyFont="1" applyBorder="1" applyAlignment="1">
      <alignment horizontal="left"/>
    </xf>
    <xf numFmtId="0" fontId="5" fillId="9" borderId="3" xfId="0" applyFont="1" applyFill="1" applyBorder="1" applyAlignment="1">
      <alignment horizontal="left" vertical="top" wrapText="1"/>
    </xf>
    <xf numFmtId="171" fontId="6" fillId="8" borderId="3" xfId="1" applyNumberFormat="1" applyFont="1" applyFill="1" applyBorder="1" applyAlignment="1">
      <alignment horizontal="left" vertical="center"/>
    </xf>
    <xf numFmtId="171" fontId="7" fillId="0" borderId="3" xfId="0" applyNumberFormat="1" applyFont="1" applyBorder="1" applyAlignment="1">
      <alignment horizontal="left" vertical="center"/>
    </xf>
    <xf numFmtId="171" fontId="7" fillId="0" borderId="0" xfId="0" applyNumberFormat="1" applyFont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64" fontId="0" fillId="0" borderId="2" xfId="0" applyNumberFormat="1" applyBorder="1" applyAlignment="1">
      <alignment horizontal="left" vertical="center"/>
    </xf>
    <xf numFmtId="0" fontId="2" fillId="0" borderId="2" xfId="0" applyFont="1" applyBorder="1" applyAlignment="1">
      <alignment horizontal="center" vertical="center" textRotation="180"/>
    </xf>
    <xf numFmtId="0" fontId="8" fillId="10" borderId="4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9" fillId="0" borderId="7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/>
    <xf numFmtId="172" fontId="9" fillId="0" borderId="4" xfId="0" applyNumberFormat="1" applyFont="1" applyBorder="1" applyAlignment="1">
      <alignment vertical="center"/>
    </xf>
    <xf numFmtId="172" fontId="9" fillId="0" borderId="2" xfId="0" applyNumberFormat="1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9" xfId="0" applyFont="1" applyBorder="1" applyAlignment="1">
      <alignment horizontal="left" vertical="center"/>
    </xf>
    <xf numFmtId="0" fontId="9" fillId="0" borderId="10" xfId="0" applyFont="1" applyBorder="1"/>
    <xf numFmtId="0" fontId="9" fillId="0" borderId="9" xfId="0" applyFont="1" applyBorder="1" applyAlignment="1">
      <alignment vertical="center"/>
    </xf>
    <xf numFmtId="172" fontId="9" fillId="0" borderId="11" xfId="0" applyNumberFormat="1" applyFont="1" applyBorder="1" applyAlignment="1">
      <alignment vertical="center"/>
    </xf>
    <xf numFmtId="172" fontId="9" fillId="0" borderId="9" xfId="0" applyNumberFormat="1" applyFont="1" applyBorder="1" applyAlignment="1">
      <alignment vertical="center"/>
    </xf>
    <xf numFmtId="0" fontId="9" fillId="7" borderId="3" xfId="0" applyFont="1" applyFill="1" applyBorder="1" applyAlignment="1">
      <alignment horizontal="left" vertical="center"/>
    </xf>
    <xf numFmtId="0" fontId="9" fillId="7" borderId="3" xfId="0" applyFont="1" applyFill="1" applyBorder="1"/>
    <xf numFmtId="0" fontId="9" fillId="0" borderId="1" xfId="0" applyFont="1" applyBorder="1"/>
    <xf numFmtId="172" fontId="9" fillId="0" borderId="7" xfId="0" applyNumberFormat="1" applyFont="1" applyBorder="1" applyAlignment="1">
      <alignment vertical="center"/>
    </xf>
  </cellXfs>
  <cellStyles count="7">
    <cellStyle name="Currency 2" xfId="2" xr:uid="{4D95532C-7522-4E99-BFEE-C350592F99A8}"/>
    <cellStyle name="Normal" xfId="0" builtinId="0"/>
    <cellStyle name="Normal 2" xfId="1" xr:uid="{64407C07-DF2A-4FFA-A8CB-E08C87DA0B02}"/>
    <cellStyle name="Normal 3" xfId="3" xr:uid="{35913D72-B8EA-418E-A988-0D9641718EAC}"/>
    <cellStyle name="Percent 2" xfId="5" xr:uid="{EE66AF48-C1DE-469D-A7A3-A19DB9B0AF0B}"/>
    <cellStyle name="千位分隔 2" xfId="6" xr:uid="{AEC2BDBF-230E-48A8-8366-4C4C208E0A3D}"/>
    <cellStyle name="常规_Sheet1" xfId="4" xr:uid="{455170A9-B3DD-4151-BDD7-C985B8461C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F29AA-E00A-4972-A505-378FC56024FA}">
  <dimension ref="A1:P44"/>
  <sheetViews>
    <sheetView tabSelected="1" topLeftCell="A15" zoomScale="69" zoomScaleNormal="70" workbookViewId="0">
      <selection activeCell="G46" sqref="G46"/>
    </sheetView>
  </sheetViews>
  <sheetFormatPr defaultRowHeight="12.75"/>
  <cols>
    <col min="1" max="1" width="59.78515625" customWidth="1"/>
    <col min="2" max="2" width="14.5703125" customWidth="1"/>
    <col min="3" max="3" width="14.640625" customWidth="1"/>
    <col min="4" max="4" width="12.78515625" customWidth="1"/>
    <col min="5" max="7" width="13.640625" customWidth="1"/>
    <col min="8" max="15" width="11.78515625" customWidth="1"/>
    <col min="16" max="16" width="11.2109375" customWidth="1"/>
  </cols>
  <sheetData>
    <row r="1" spans="1:15" ht="32" customHeight="1">
      <c r="A1" s="14" t="s">
        <v>26</v>
      </c>
      <c r="B1" s="19" t="s">
        <v>27</v>
      </c>
      <c r="C1" s="19" t="s">
        <v>28</v>
      </c>
      <c r="D1" s="19" t="s">
        <v>29</v>
      </c>
      <c r="E1" s="19" t="s">
        <v>30</v>
      </c>
      <c r="F1" s="19" t="s">
        <v>31</v>
      </c>
      <c r="G1" s="19" t="s">
        <v>32</v>
      </c>
      <c r="H1" s="16"/>
      <c r="I1" s="16"/>
      <c r="J1" s="16"/>
      <c r="K1" s="16"/>
      <c r="L1" s="16"/>
      <c r="M1" s="16"/>
      <c r="N1" s="16"/>
      <c r="O1" s="16"/>
    </row>
    <row r="2" spans="1:15" ht="15.75">
      <c r="A2" s="10" t="s">
        <v>88</v>
      </c>
      <c r="B2" s="11">
        <v>22.315999999999999</v>
      </c>
      <c r="C2" s="11">
        <v>37.096999999999994</v>
      </c>
      <c r="D2" s="11">
        <v>74.942000000000007</v>
      </c>
      <c r="E2" s="11">
        <v>188.41599999999997</v>
      </c>
      <c r="F2" s="11">
        <v>455.14699999999999</v>
      </c>
      <c r="G2" s="11">
        <v>1087.471</v>
      </c>
      <c r="H2" s="16"/>
      <c r="I2" s="16"/>
      <c r="J2" s="16"/>
      <c r="K2" s="16"/>
      <c r="L2" s="16"/>
      <c r="M2" s="16"/>
      <c r="N2" s="16"/>
      <c r="O2" s="16"/>
    </row>
    <row r="3" spans="1:15" ht="15.75">
      <c r="A3" s="10" t="s">
        <v>89</v>
      </c>
      <c r="B3" s="12">
        <v>0.16195588235294101</v>
      </c>
      <c r="C3" s="12">
        <v>0.16953461538461501</v>
      </c>
      <c r="D3" s="12">
        <v>0.21580337381916301</v>
      </c>
      <c r="E3" s="12">
        <v>0.36238095238095203</v>
      </c>
      <c r="F3" s="12">
        <v>0.73910489510489497</v>
      </c>
      <c r="G3" s="13">
        <v>4.5716666666666699</v>
      </c>
      <c r="H3" s="16"/>
      <c r="I3" s="16"/>
      <c r="J3" s="16"/>
      <c r="K3" s="16"/>
      <c r="L3" s="16"/>
      <c r="M3" s="16"/>
      <c r="N3" s="16"/>
      <c r="O3" s="16"/>
    </row>
    <row r="4" spans="1:15" s="28" customFormat="1" ht="15.75">
      <c r="A4" s="26" t="s">
        <v>87</v>
      </c>
      <c r="B4" s="27">
        <v>694</v>
      </c>
      <c r="C4" s="27">
        <v>4623</v>
      </c>
      <c r="D4" s="27">
        <v>2134</v>
      </c>
      <c r="E4" s="27">
        <v>1047</v>
      </c>
      <c r="F4" s="27">
        <v>221</v>
      </c>
      <c r="G4" s="27">
        <v>24</v>
      </c>
    </row>
    <row r="5" spans="1:1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pans="1:15" ht="47.25">
      <c r="A6" s="14" t="s">
        <v>26</v>
      </c>
      <c r="B6" s="20" t="s">
        <v>33</v>
      </c>
      <c r="C6" s="20" t="s">
        <v>34</v>
      </c>
      <c r="D6" s="20" t="s">
        <v>35</v>
      </c>
      <c r="E6" s="20" t="s">
        <v>36</v>
      </c>
      <c r="F6" s="20" t="s">
        <v>37</v>
      </c>
      <c r="G6" s="20" t="s">
        <v>38</v>
      </c>
      <c r="H6" s="20" t="s">
        <v>39</v>
      </c>
      <c r="I6" s="20" t="s">
        <v>40</v>
      </c>
      <c r="J6" s="20" t="s">
        <v>41</v>
      </c>
      <c r="K6" s="20" t="s">
        <v>42</v>
      </c>
      <c r="L6" s="20" t="s">
        <v>43</v>
      </c>
      <c r="M6" s="20" t="s">
        <v>44</v>
      </c>
      <c r="N6" s="20" t="s">
        <v>45</v>
      </c>
      <c r="O6" s="20" t="s">
        <v>46</v>
      </c>
    </row>
    <row r="7" spans="1:15" ht="15.75">
      <c r="A7" s="10" t="s">
        <v>88</v>
      </c>
      <c r="B7" s="15">
        <v>1.1725620335429769</v>
      </c>
      <c r="C7" s="15">
        <v>1.6030717591973245</v>
      </c>
      <c r="D7" s="15">
        <v>1.9813803490790254</v>
      </c>
      <c r="E7" s="15">
        <v>2.5534332717569788</v>
      </c>
      <c r="F7" s="15">
        <v>3.2907142352092351</v>
      </c>
      <c r="G7" s="15">
        <v>2.8301178211585576</v>
      </c>
      <c r="H7" s="15">
        <v>3.5299298089591571</v>
      </c>
      <c r="I7" s="15">
        <v>4.6330904120389409</v>
      </c>
      <c r="J7" s="15">
        <v>5.4545419552056558</v>
      </c>
      <c r="K7" s="15">
        <v>8.0402593898367432</v>
      </c>
      <c r="L7" s="15">
        <v>9.4936168898367441</v>
      </c>
      <c r="M7" s="15">
        <v>11.550236835311836</v>
      </c>
      <c r="N7" s="15">
        <v>17.974119011142538</v>
      </c>
      <c r="O7" s="15">
        <v>24.13383003267003</v>
      </c>
    </row>
    <row r="8" spans="1:15" ht="15.75">
      <c r="A8" s="10" t="s">
        <v>89</v>
      </c>
      <c r="B8" s="15">
        <v>0.55035040431266902</v>
      </c>
      <c r="C8" s="15">
        <v>0.57534865592073803</v>
      </c>
      <c r="D8" s="15">
        <v>0.593042080468551</v>
      </c>
      <c r="E8" s="15">
        <v>0.66237684729063995</v>
      </c>
      <c r="F8" s="15">
        <v>0.80441854636591503</v>
      </c>
      <c r="G8" s="15">
        <v>0.64023560617881103</v>
      </c>
      <c r="H8" s="15">
        <v>0.72682367149758398</v>
      </c>
      <c r="I8" s="15">
        <v>0.93631724484665702</v>
      </c>
      <c r="J8" s="15">
        <v>1.07395820613346</v>
      </c>
      <c r="K8" s="15">
        <v>1.3889602877559599</v>
      </c>
      <c r="L8" s="15">
        <v>1.6218599310607</v>
      </c>
      <c r="M8" s="15">
        <v>1.72046199296199</v>
      </c>
      <c r="N8" s="15">
        <v>2.3518791233032701</v>
      </c>
      <c r="O8" s="15">
        <v>2.7138877338877299</v>
      </c>
    </row>
    <row r="9" spans="1:15" s="28" customFormat="1" ht="15.75">
      <c r="A9" s="26" t="s">
        <v>87</v>
      </c>
      <c r="B9" s="27">
        <v>0</v>
      </c>
      <c r="C9" s="27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  <c r="O9" s="27">
        <v>0</v>
      </c>
    </row>
    <row r="11" spans="1:15" s="17" customFormat="1" ht="64.5" customHeight="1">
      <c r="A11" s="14" t="s">
        <v>26</v>
      </c>
      <c r="B11" s="21" t="s">
        <v>47</v>
      </c>
      <c r="C11" s="21" t="s">
        <v>51</v>
      </c>
      <c r="D11" s="21" t="s">
        <v>48</v>
      </c>
    </row>
    <row r="12" spans="1:15" s="17" customFormat="1" ht="15.75">
      <c r="A12" s="10" t="s">
        <v>88</v>
      </c>
      <c r="B12" s="15">
        <v>34.984497753642735</v>
      </c>
      <c r="C12" s="15">
        <v>63.480368399933901</v>
      </c>
      <c r="D12" s="15">
        <v>156.66974747714463</v>
      </c>
    </row>
    <row r="13" spans="1:15" s="17" customFormat="1" ht="15.75">
      <c r="A13" s="10" t="s">
        <v>89</v>
      </c>
      <c r="B13" s="15">
        <v>0.26098503580843102</v>
      </c>
      <c r="C13" s="15">
        <v>0.27635853384415998</v>
      </c>
      <c r="D13" s="15">
        <v>0.61988095238095198</v>
      </c>
    </row>
    <row r="14" spans="1:15" s="28" customFormat="1" ht="15.75">
      <c r="A14" s="26" t="s">
        <v>87</v>
      </c>
      <c r="B14" s="27">
        <v>0</v>
      </c>
      <c r="C14" s="27">
        <v>0</v>
      </c>
      <c r="D14" s="27">
        <v>0</v>
      </c>
    </row>
    <row r="15" spans="1:15">
      <c r="B15" s="16"/>
      <c r="C15" s="16"/>
      <c r="D15" s="16"/>
    </row>
    <row r="16" spans="1:15" ht="63">
      <c r="A16" s="14" t="s">
        <v>26</v>
      </c>
      <c r="B16" s="22" t="s">
        <v>50</v>
      </c>
      <c r="C16" s="22" t="s">
        <v>49</v>
      </c>
      <c r="D16" s="16"/>
    </row>
    <row r="17" spans="1:7" ht="15.75">
      <c r="A17" s="10" t="s">
        <v>88</v>
      </c>
      <c r="B17" s="15">
        <v>26.594331494548975</v>
      </c>
      <c r="C17" s="15">
        <v>45.884987850101886</v>
      </c>
      <c r="D17" s="16"/>
    </row>
    <row r="18" spans="1:7" ht="15.75">
      <c r="A18" s="10" t="s">
        <v>89</v>
      </c>
      <c r="B18" s="15">
        <v>0.24503317586326701</v>
      </c>
      <c r="C18" s="15">
        <v>0.327644772485368</v>
      </c>
      <c r="D18" s="16"/>
    </row>
    <row r="19" spans="1:7" s="28" customFormat="1" ht="15.75">
      <c r="A19" s="26" t="s">
        <v>87</v>
      </c>
      <c r="B19" s="27">
        <v>1133</v>
      </c>
      <c r="C19" s="27">
        <v>445</v>
      </c>
    </row>
    <row r="21" spans="1:7" ht="47.25">
      <c r="A21" s="14" t="s">
        <v>26</v>
      </c>
      <c r="B21" s="20" t="s">
        <v>52</v>
      </c>
      <c r="C21" s="20" t="s">
        <v>53</v>
      </c>
      <c r="D21" s="20" t="s">
        <v>54</v>
      </c>
      <c r="E21" s="20" t="s">
        <v>55</v>
      </c>
      <c r="F21" s="20" t="s">
        <v>56</v>
      </c>
    </row>
    <row r="22" spans="1:7" ht="15.75">
      <c r="A22" s="10" t="s">
        <v>88</v>
      </c>
      <c r="B22" s="15">
        <v>7.2860167797443462E-2</v>
      </c>
      <c r="C22" s="15">
        <v>0.1263</v>
      </c>
      <c r="D22" s="15">
        <v>0.17169045454545456</v>
      </c>
      <c r="E22" s="15">
        <v>0.19538092198581561</v>
      </c>
      <c r="F22" s="15">
        <v>0.18762193121693099</v>
      </c>
    </row>
    <row r="23" spans="1:7" ht="15.75">
      <c r="A23" s="10" t="s">
        <v>89</v>
      </c>
      <c r="B23" s="18">
        <v>1.92063492063492E-4</v>
      </c>
      <c r="C23" s="18">
        <v>1.92063492063492E-4</v>
      </c>
      <c r="D23" s="18">
        <v>2.3181818181818199E-4</v>
      </c>
      <c r="E23" s="18">
        <v>2.7943262411347502E-4</v>
      </c>
      <c r="F23" s="18">
        <v>3.7049911816578501E-3</v>
      </c>
    </row>
    <row r="24" spans="1:7" s="28" customFormat="1" ht="15.75">
      <c r="A24" s="26" t="s">
        <v>87</v>
      </c>
      <c r="B24" s="27">
        <v>29300</v>
      </c>
      <c r="C24" s="27">
        <v>101220</v>
      </c>
      <c r="D24" s="27">
        <v>15963</v>
      </c>
      <c r="E24" s="27">
        <v>30255</v>
      </c>
      <c r="F24" s="27">
        <v>22000</v>
      </c>
    </row>
    <row r="26" spans="1:7" ht="58.5" customHeight="1">
      <c r="A26" s="14" t="s">
        <v>26</v>
      </c>
      <c r="B26" s="25" t="s">
        <v>81</v>
      </c>
      <c r="C26" s="25" t="s">
        <v>86</v>
      </c>
      <c r="D26" s="25" t="s">
        <v>82</v>
      </c>
      <c r="E26" s="25" t="s">
        <v>83</v>
      </c>
      <c r="F26" s="25" t="s">
        <v>84</v>
      </c>
      <c r="G26" s="25" t="s">
        <v>85</v>
      </c>
    </row>
    <row r="27" spans="1:7" ht="15.75">
      <c r="A27" s="10" t="s">
        <v>88</v>
      </c>
      <c r="B27" s="15">
        <v>4.1700949999999999</v>
      </c>
      <c r="C27" s="15">
        <v>6.7489400000000002</v>
      </c>
      <c r="D27" s="15">
        <v>13.507816666666667</v>
      </c>
      <c r="E27" s="15">
        <v>25.210499999999996</v>
      </c>
      <c r="F27" s="15">
        <v>25.6922</v>
      </c>
      <c r="G27" s="15">
        <v>60.770649999999996</v>
      </c>
    </row>
    <row r="28" spans="1:7" ht="15.75">
      <c r="A28" s="10" t="s">
        <v>89</v>
      </c>
      <c r="B28" s="18">
        <v>2.9738095238095201E-3</v>
      </c>
      <c r="C28" s="18">
        <v>3.0904761904761899E-3</v>
      </c>
      <c r="D28" s="18">
        <v>3.2460317460317502E-3</v>
      </c>
      <c r="E28" s="18">
        <v>4.4999999999999997E-3</v>
      </c>
      <c r="F28" s="18">
        <v>4.4999999999999997E-3</v>
      </c>
      <c r="G28" s="18">
        <v>4.4999999999999997E-3</v>
      </c>
    </row>
    <row r="29" spans="1:7" s="28" customFormat="1" ht="15.75">
      <c r="A29" s="26" t="s">
        <v>87</v>
      </c>
      <c r="B29" s="27">
        <v>1005</v>
      </c>
      <c r="C29" s="27">
        <v>3511</v>
      </c>
      <c r="D29" s="27">
        <v>1507</v>
      </c>
      <c r="E29" s="27">
        <v>104</v>
      </c>
      <c r="F29" s="27">
        <v>305</v>
      </c>
      <c r="G29" s="27">
        <v>0</v>
      </c>
    </row>
    <row r="31" spans="1:7" ht="94.5">
      <c r="A31" s="14" t="s">
        <v>26</v>
      </c>
      <c r="B31" s="20" t="s">
        <v>57</v>
      </c>
      <c r="C31" s="20" t="s">
        <v>58</v>
      </c>
      <c r="D31" s="20" t="s">
        <v>59</v>
      </c>
      <c r="E31" s="20" t="s">
        <v>60</v>
      </c>
    </row>
    <row r="32" spans="1:7" ht="16.05" customHeight="1">
      <c r="A32" s="10" t="s">
        <v>88</v>
      </c>
      <c r="B32" s="15">
        <v>4.0450949999999999</v>
      </c>
      <c r="C32" s="15">
        <v>5.4673150000000001</v>
      </c>
      <c r="D32" s="15">
        <v>11.610316666666666</v>
      </c>
      <c r="E32" s="15">
        <v>31.4422</v>
      </c>
    </row>
    <row r="33" spans="1:16" ht="15.75">
      <c r="A33" s="10" t="s">
        <v>89</v>
      </c>
      <c r="B33" s="18">
        <v>1.4005555555555599E-2</v>
      </c>
      <c r="C33" s="18">
        <v>2.24432624113475E-2</v>
      </c>
      <c r="D33" s="18">
        <v>1.4122222222222199E-2</v>
      </c>
      <c r="E33" s="18">
        <v>1.7338041431261799E-2</v>
      </c>
    </row>
    <row r="34" spans="1:16" s="28" customFormat="1" ht="15.75">
      <c r="A34" s="26" t="s">
        <v>87</v>
      </c>
      <c r="B34" s="27">
        <v>0</v>
      </c>
      <c r="C34" s="27">
        <v>150</v>
      </c>
      <c r="D34" s="27">
        <v>0</v>
      </c>
      <c r="E34" s="27">
        <v>0</v>
      </c>
    </row>
    <row r="36" spans="1:16" ht="47.25">
      <c r="A36" s="14" t="s">
        <v>26</v>
      </c>
      <c r="B36" s="20" t="s">
        <v>61</v>
      </c>
      <c r="C36" s="20" t="s">
        <v>62</v>
      </c>
      <c r="D36" s="20" t="s">
        <v>63</v>
      </c>
      <c r="E36" s="20" t="s">
        <v>64</v>
      </c>
      <c r="F36" s="20" t="s">
        <v>65</v>
      </c>
      <c r="G36" s="20" t="s">
        <v>66</v>
      </c>
      <c r="H36" s="20" t="s">
        <v>67</v>
      </c>
      <c r="I36" s="20" t="s">
        <v>68</v>
      </c>
      <c r="J36" s="20" t="s">
        <v>70</v>
      </c>
      <c r="K36" s="20" t="s">
        <v>71</v>
      </c>
      <c r="L36" s="20" t="s">
        <v>72</v>
      </c>
      <c r="M36" s="20" t="s">
        <v>73</v>
      </c>
      <c r="N36" s="20" t="s">
        <v>74</v>
      </c>
      <c r="O36" s="20" t="s">
        <v>75</v>
      </c>
      <c r="P36" s="20" t="s">
        <v>69</v>
      </c>
    </row>
    <row r="37" spans="1:16" ht="15.75">
      <c r="A37" s="10" t="s">
        <v>88</v>
      </c>
      <c r="B37" s="15">
        <v>0.45687500000000003</v>
      </c>
      <c r="C37" s="15">
        <v>0.49687500000000001</v>
      </c>
      <c r="D37" s="15">
        <v>0.53769230769230769</v>
      </c>
      <c r="E37" s="15">
        <v>0.58769230769230774</v>
      </c>
      <c r="F37" s="15">
        <v>0.67249999999999999</v>
      </c>
      <c r="G37" s="15">
        <v>0.81714285714285706</v>
      </c>
      <c r="H37" s="15">
        <v>1.1053846153846154</v>
      </c>
      <c r="I37" s="15">
        <v>0.50428571428571423</v>
      </c>
      <c r="J37" s="15">
        <v>0.54923076923076919</v>
      </c>
      <c r="K37" s="15">
        <v>0.5592307692307692</v>
      </c>
      <c r="L37" s="15">
        <v>0.72499999999999998</v>
      </c>
      <c r="M37" s="15">
        <v>0.86384615384615382</v>
      </c>
      <c r="N37" s="15">
        <v>1.2092307692307693</v>
      </c>
      <c r="O37" s="15">
        <v>1.3092307692307692</v>
      </c>
      <c r="P37" s="15">
        <v>1.5281818181818181</v>
      </c>
    </row>
    <row r="38" spans="1:16" ht="15.75">
      <c r="A38" s="10" t="s">
        <v>89</v>
      </c>
      <c r="B38" s="24">
        <v>5.0500000000000002E-4</v>
      </c>
      <c r="C38" s="24">
        <v>5.0500000000000002E-4</v>
      </c>
      <c r="D38" s="24">
        <v>5.0500000000000002E-4</v>
      </c>
      <c r="E38" s="24">
        <v>5.0500000000000002E-4</v>
      </c>
      <c r="F38" s="24">
        <v>5.0500000000000002E-4</v>
      </c>
      <c r="G38" s="24">
        <v>6.9899999999999997E-4</v>
      </c>
      <c r="H38" s="24">
        <v>6.9899999999999997E-4</v>
      </c>
      <c r="I38" s="24">
        <v>5.6800000000000004E-4</v>
      </c>
      <c r="J38" s="24">
        <v>5.6800000000000004E-4</v>
      </c>
      <c r="K38" s="24">
        <v>5.6800000000000004E-4</v>
      </c>
      <c r="L38" s="24">
        <v>7.5799999999999999E-4</v>
      </c>
      <c r="M38" s="24">
        <v>7.5799999999999999E-4</v>
      </c>
      <c r="N38" s="24">
        <v>1.1360000000000001E-3</v>
      </c>
      <c r="O38" s="24">
        <v>1.1360000000000001E-3</v>
      </c>
      <c r="P38" s="24">
        <v>1.1360000000000001E-3</v>
      </c>
    </row>
    <row r="39" spans="1:16" s="28" customFormat="1" ht="15.75">
      <c r="A39" s="26" t="s">
        <v>87</v>
      </c>
      <c r="B39" s="27">
        <v>0</v>
      </c>
      <c r="C39" s="27">
        <v>20110</v>
      </c>
      <c r="D39" s="27">
        <v>69806</v>
      </c>
      <c r="E39" s="27">
        <v>55144</v>
      </c>
      <c r="F39" s="27">
        <v>20061</v>
      </c>
      <c r="G39" s="27">
        <v>10071</v>
      </c>
      <c r="H39" s="27">
        <v>5030</v>
      </c>
      <c r="I39" s="27">
        <v>0</v>
      </c>
      <c r="J39" s="27">
        <v>30020</v>
      </c>
      <c r="K39" s="27">
        <v>5110</v>
      </c>
      <c r="L39" s="27">
        <v>35089</v>
      </c>
      <c r="M39" s="27">
        <v>65268</v>
      </c>
      <c r="N39" s="27">
        <v>5082</v>
      </c>
      <c r="O39" s="27">
        <v>3050</v>
      </c>
      <c r="P39" s="27">
        <v>0</v>
      </c>
    </row>
    <row r="41" spans="1:16" ht="62" customHeight="1">
      <c r="A41" s="14" t="s">
        <v>26</v>
      </c>
      <c r="B41" s="23" t="s">
        <v>76</v>
      </c>
      <c r="C41" s="23" t="s">
        <v>77</v>
      </c>
      <c r="D41" s="23" t="s">
        <v>78</v>
      </c>
      <c r="E41" s="23" t="s">
        <v>79</v>
      </c>
      <c r="F41" s="23" t="s">
        <v>80</v>
      </c>
    </row>
    <row r="42" spans="1:16" ht="15.75">
      <c r="A42" s="10" t="s">
        <v>88</v>
      </c>
      <c r="B42" s="15">
        <v>1.241525</v>
      </c>
      <c r="C42" s="15">
        <v>1.8940475000000001</v>
      </c>
      <c r="D42" s="15">
        <v>2.4370633333333331</v>
      </c>
      <c r="E42" s="15">
        <v>3.137095</v>
      </c>
      <c r="F42" s="15">
        <v>4.5529899999999994</v>
      </c>
    </row>
    <row r="43" spans="1:16" ht="15.75">
      <c r="A43" s="10" t="s">
        <v>89</v>
      </c>
      <c r="B43" s="18">
        <v>1.0466666666666699E-3</v>
      </c>
      <c r="C43" s="18">
        <v>1.05833333333333E-3</v>
      </c>
      <c r="D43" s="18">
        <v>1.0777777777777799E-3</v>
      </c>
      <c r="E43" s="18">
        <v>1.3666666666666701E-3</v>
      </c>
      <c r="F43" s="18">
        <v>1.48333333333333E-3</v>
      </c>
    </row>
    <row r="44" spans="1:16" s="28" customFormat="1" ht="15.75">
      <c r="A44" s="26" t="s">
        <v>87</v>
      </c>
      <c r="B44" s="27">
        <v>0</v>
      </c>
      <c r="C44" s="27">
        <v>1006</v>
      </c>
      <c r="D44" s="27">
        <v>1000</v>
      </c>
      <c r="E44" s="27">
        <v>0</v>
      </c>
      <c r="F44" s="2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B3E2-D413-4F7E-B2A6-EC6DEB39C072}">
  <dimension ref="B7:F20"/>
  <sheetViews>
    <sheetView workbookViewId="0">
      <selection activeCell="H22" sqref="H22"/>
    </sheetView>
  </sheetViews>
  <sheetFormatPr defaultRowHeight="12.75"/>
  <cols>
    <col min="3" max="3" width="16.140625" customWidth="1"/>
    <col min="4" max="4" width="14.35546875" customWidth="1"/>
    <col min="5" max="5" width="14.0703125" customWidth="1"/>
  </cols>
  <sheetData>
    <row r="7" spans="2:6" ht="13.15">
      <c r="B7" s="37" t="s">
        <v>90</v>
      </c>
      <c r="C7" s="38"/>
      <c r="D7" s="38"/>
      <c r="E7" s="39"/>
      <c r="F7" s="40" t="s">
        <v>91</v>
      </c>
    </row>
    <row r="8" spans="2:6" ht="13.15">
      <c r="B8" s="41" t="s">
        <v>92</v>
      </c>
      <c r="C8" s="41" t="s">
        <v>93</v>
      </c>
      <c r="D8" s="41" t="s">
        <v>94</v>
      </c>
      <c r="E8" s="42" t="s">
        <v>95</v>
      </c>
      <c r="F8" s="41"/>
    </row>
    <row r="9" spans="2:6" ht="13.15">
      <c r="B9" s="43">
        <v>1</v>
      </c>
      <c r="C9" s="44" t="s">
        <v>96</v>
      </c>
      <c r="D9" s="44">
        <v>10000</v>
      </c>
      <c r="E9" s="45">
        <f>D9*12</f>
        <v>120000</v>
      </c>
      <c r="F9" s="46" t="s">
        <v>97</v>
      </c>
    </row>
    <row r="10" spans="2:6" ht="13.15">
      <c r="B10" s="43">
        <v>2</v>
      </c>
      <c r="C10" s="44" t="s">
        <v>98</v>
      </c>
      <c r="D10" s="44">
        <v>10000</v>
      </c>
      <c r="E10" s="45">
        <f t="shared" ref="E10:E19" si="0">D10*12</f>
        <v>120000</v>
      </c>
      <c r="F10" s="46" t="s">
        <v>99</v>
      </c>
    </row>
    <row r="11" spans="2:6" ht="13.15">
      <c r="B11" s="43">
        <v>3</v>
      </c>
      <c r="C11" s="46" t="s">
        <v>100</v>
      </c>
      <c r="D11" s="44">
        <v>10000</v>
      </c>
      <c r="E11" s="45">
        <f t="shared" si="0"/>
        <v>120000</v>
      </c>
      <c r="F11" s="46" t="s">
        <v>101</v>
      </c>
    </row>
    <row r="12" spans="2:6" ht="13.15">
      <c r="B12" s="43">
        <v>4</v>
      </c>
      <c r="C12" s="46" t="s">
        <v>102</v>
      </c>
      <c r="D12" s="44">
        <v>10000</v>
      </c>
      <c r="E12" s="45">
        <f t="shared" si="0"/>
        <v>120000</v>
      </c>
      <c r="F12" s="46" t="s">
        <v>103</v>
      </c>
    </row>
    <row r="13" spans="2:6" ht="13.15">
      <c r="B13" s="43">
        <v>5</v>
      </c>
      <c r="C13" s="46" t="s">
        <v>104</v>
      </c>
      <c r="D13" s="44">
        <v>10000</v>
      </c>
      <c r="E13" s="45">
        <f t="shared" si="0"/>
        <v>120000</v>
      </c>
      <c r="F13" s="46" t="s">
        <v>105</v>
      </c>
    </row>
    <row r="14" spans="2:6" ht="13.15">
      <c r="B14" s="43">
        <v>6</v>
      </c>
      <c r="C14" s="44" t="s">
        <v>106</v>
      </c>
      <c r="D14" s="44">
        <v>6438</v>
      </c>
      <c r="E14" s="45">
        <f t="shared" si="0"/>
        <v>77256</v>
      </c>
      <c r="F14" s="46" t="s">
        <v>106</v>
      </c>
    </row>
    <row r="15" spans="2:6" ht="13.15">
      <c r="B15" s="43">
        <v>7</v>
      </c>
      <c r="C15" s="44" t="s">
        <v>107</v>
      </c>
      <c r="D15" s="44">
        <v>4940</v>
      </c>
      <c r="E15" s="45">
        <f t="shared" si="0"/>
        <v>59280</v>
      </c>
      <c r="F15" s="46" t="s">
        <v>108</v>
      </c>
    </row>
    <row r="16" spans="2:6" ht="13.15">
      <c r="B16" s="43">
        <v>8</v>
      </c>
      <c r="C16" s="44" t="s">
        <v>109</v>
      </c>
      <c r="D16" s="44">
        <v>4465</v>
      </c>
      <c r="E16" s="45">
        <f t="shared" si="0"/>
        <v>53580</v>
      </c>
      <c r="F16" s="46" t="s">
        <v>110</v>
      </c>
    </row>
    <row r="17" spans="2:6" ht="13.15">
      <c r="B17" s="43">
        <v>9</v>
      </c>
      <c r="C17" s="44" t="s">
        <v>111</v>
      </c>
      <c r="D17" s="47">
        <v>5465</v>
      </c>
      <c r="E17" s="45">
        <f t="shared" si="0"/>
        <v>65580</v>
      </c>
      <c r="F17" s="46" t="s">
        <v>112</v>
      </c>
    </row>
    <row r="18" spans="2:6" ht="13.15">
      <c r="B18" s="48">
        <v>10</v>
      </c>
      <c r="C18" s="49" t="s">
        <v>113</v>
      </c>
      <c r="D18" s="50">
        <v>3615</v>
      </c>
      <c r="E18" s="51">
        <f t="shared" si="0"/>
        <v>43380</v>
      </c>
      <c r="F18" s="52" t="s">
        <v>114</v>
      </c>
    </row>
    <row r="19" spans="2:6" ht="13.15">
      <c r="B19" s="53">
        <v>11</v>
      </c>
      <c r="C19" s="54" t="s">
        <v>115</v>
      </c>
      <c r="D19" s="44">
        <v>6500</v>
      </c>
      <c r="E19" s="44">
        <f t="shared" si="0"/>
        <v>78000</v>
      </c>
      <c r="F19" s="44" t="s">
        <v>116</v>
      </c>
    </row>
    <row r="20" spans="2:6" ht="13.15">
      <c r="B20" s="55"/>
      <c r="C20" s="41" t="s">
        <v>117</v>
      </c>
      <c r="D20" s="41">
        <f>SUM(D9:D19)</f>
        <v>81423</v>
      </c>
      <c r="E20" s="56">
        <f>SUM(E9:E19)</f>
        <v>977076</v>
      </c>
      <c r="F20" s="56"/>
    </row>
  </sheetData>
  <mergeCells count="1">
    <mergeCell ref="B7:E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ricing"/>
  <dimension ref="A1:K17"/>
  <sheetViews>
    <sheetView workbookViewId="0">
      <selection activeCell="G3" sqref="G3:G17"/>
    </sheetView>
  </sheetViews>
  <sheetFormatPr defaultColWidth="13.78515625" defaultRowHeight="18" customHeight="1"/>
  <cols>
    <col min="1" max="1" width="5.78515625" customWidth="1"/>
    <col min="2" max="2" width="7.35546875" customWidth="1"/>
    <col min="4" max="4" width="15" customWidth="1"/>
    <col min="5" max="5" width="9.42578125" customWidth="1"/>
    <col min="6" max="7" width="7.78515625" customWidth="1"/>
    <col min="8" max="8" width="8.2109375" customWidth="1"/>
    <col min="9" max="9" width="17.640625" customWidth="1"/>
    <col min="10" max="10" width="18.0703125" customWidth="1"/>
    <col min="11" max="11" width="11.42578125" customWidth="1"/>
  </cols>
  <sheetData>
    <row r="1" spans="1:11" ht="12.75">
      <c r="A1" s="33" t="s">
        <v>6</v>
      </c>
      <c r="B1" s="30"/>
      <c r="C1" s="34" t="s">
        <v>7</v>
      </c>
      <c r="D1" s="30"/>
      <c r="E1" s="30"/>
      <c r="F1" s="32"/>
      <c r="G1" s="30"/>
      <c r="H1" s="30"/>
      <c r="I1" s="31" t="s">
        <v>8</v>
      </c>
      <c r="J1" s="32"/>
      <c r="K1" s="30"/>
    </row>
    <row r="2" spans="1:11" ht="46.5" customHeight="1">
      <c r="A2" s="1" t="s">
        <v>9</v>
      </c>
      <c r="B2" s="3" t="s">
        <v>0</v>
      </c>
      <c r="C2" s="4" t="s">
        <v>10</v>
      </c>
      <c r="D2" s="4" t="s">
        <v>11</v>
      </c>
      <c r="E2" s="5" t="s">
        <v>12</v>
      </c>
      <c r="F2" s="6" t="s">
        <v>13</v>
      </c>
      <c r="G2" s="5" t="s">
        <v>14</v>
      </c>
      <c r="H2" s="5" t="s">
        <v>15</v>
      </c>
      <c r="I2" s="7" t="s">
        <v>16</v>
      </c>
      <c r="J2" s="7" t="s">
        <v>17</v>
      </c>
      <c r="K2" s="8" t="s">
        <v>18</v>
      </c>
    </row>
    <row r="3" spans="1:11" ht="12.75">
      <c r="A3" s="36" t="s">
        <v>19</v>
      </c>
      <c r="B3" s="30" t="s">
        <v>1</v>
      </c>
      <c r="C3" s="2" t="s">
        <v>20</v>
      </c>
      <c r="D3" s="2" t="s">
        <v>21</v>
      </c>
      <c r="E3" s="9">
        <v>8.6</v>
      </c>
      <c r="F3" s="29">
        <v>0.93100000000000005</v>
      </c>
      <c r="G3" s="35">
        <f>SUM(E3:E5)+F3</f>
        <v>20.800999999999998</v>
      </c>
      <c r="H3" s="35">
        <f>G3/6.9</f>
        <v>3.01463768115942</v>
      </c>
      <c r="I3" s="29">
        <v>5.46</v>
      </c>
      <c r="J3" s="29">
        <v>4.84</v>
      </c>
      <c r="K3" s="29">
        <v>10.8</v>
      </c>
    </row>
    <row r="4" spans="1:11" ht="12.75">
      <c r="A4" s="30"/>
      <c r="B4" s="30"/>
      <c r="C4" s="2" t="s">
        <v>22</v>
      </c>
      <c r="D4" s="2" t="s">
        <v>21</v>
      </c>
      <c r="E4" s="9">
        <v>3.35</v>
      </c>
      <c r="F4" s="30"/>
      <c r="G4" s="30"/>
      <c r="H4" s="30"/>
      <c r="I4" s="30"/>
      <c r="J4" s="30"/>
      <c r="K4" s="30"/>
    </row>
    <row r="5" spans="1:11" ht="12.75">
      <c r="A5" s="30"/>
      <c r="B5" s="30"/>
      <c r="C5" s="2" t="s">
        <v>23</v>
      </c>
      <c r="D5" s="2" t="s">
        <v>24</v>
      </c>
      <c r="E5" s="9">
        <v>7.92</v>
      </c>
      <c r="F5" s="30"/>
      <c r="G5" s="30"/>
      <c r="H5" s="30"/>
      <c r="I5" s="30"/>
      <c r="J5" s="30"/>
      <c r="K5" s="30"/>
    </row>
    <row r="6" spans="1:11" ht="12.75">
      <c r="A6" s="30"/>
      <c r="B6" s="30" t="s">
        <v>2</v>
      </c>
      <c r="C6" s="2" t="s">
        <v>20</v>
      </c>
      <c r="D6" s="2" t="s">
        <v>21</v>
      </c>
      <c r="E6" s="9">
        <v>13.08</v>
      </c>
      <c r="F6" s="29">
        <v>1.7050000000000001</v>
      </c>
      <c r="G6" s="35">
        <f>SUM(E6:E8)+F6</f>
        <v>34.824999999999996</v>
      </c>
      <c r="H6" s="35">
        <f>G6/6.9</f>
        <v>5.0471014492753614</v>
      </c>
      <c r="I6" s="29">
        <v>7.62</v>
      </c>
      <c r="J6" s="29">
        <v>6.75</v>
      </c>
      <c r="K6" s="29">
        <v>11.9</v>
      </c>
    </row>
    <row r="7" spans="1:11" ht="12.75">
      <c r="A7" s="30"/>
      <c r="B7" s="30"/>
      <c r="C7" s="2" t="s">
        <v>22</v>
      </c>
      <c r="D7" s="2" t="s">
        <v>21</v>
      </c>
      <c r="E7" s="9">
        <v>4.8899999999999997</v>
      </c>
      <c r="F7" s="30"/>
      <c r="G7" s="30"/>
      <c r="H7" s="30"/>
      <c r="I7" s="30"/>
      <c r="J7" s="30"/>
      <c r="K7" s="30"/>
    </row>
    <row r="8" spans="1:11" ht="12.75">
      <c r="A8" s="30"/>
      <c r="B8" s="30"/>
      <c r="C8" s="2" t="s">
        <v>23</v>
      </c>
      <c r="D8" s="2" t="s">
        <v>24</v>
      </c>
      <c r="E8" s="9">
        <v>15.15</v>
      </c>
      <c r="F8" s="30"/>
      <c r="G8" s="30"/>
      <c r="H8" s="30"/>
      <c r="I8" s="30"/>
      <c r="J8" s="30"/>
      <c r="K8" s="30"/>
    </row>
    <row r="9" spans="1:11" ht="12.75">
      <c r="A9" s="30"/>
      <c r="B9" s="30" t="s">
        <v>3</v>
      </c>
      <c r="C9" s="2" t="s">
        <v>20</v>
      </c>
      <c r="D9" s="2" t="s">
        <v>21</v>
      </c>
      <c r="E9" s="9">
        <v>22.45</v>
      </c>
      <c r="F9" s="29">
        <v>4.0149999999999997</v>
      </c>
      <c r="G9" s="35">
        <f>SUM(E9:E11)+F9</f>
        <v>67.734999999999999</v>
      </c>
      <c r="H9" s="35">
        <f>G9/6.9</f>
        <v>9.8166666666666664</v>
      </c>
      <c r="I9" s="29">
        <v>14.14</v>
      </c>
      <c r="J9" s="29">
        <v>12.52</v>
      </c>
      <c r="K9" s="29">
        <v>22.8</v>
      </c>
    </row>
    <row r="10" spans="1:11" ht="12.75">
      <c r="A10" s="30"/>
      <c r="B10" s="30"/>
      <c r="C10" s="2" t="s">
        <v>22</v>
      </c>
      <c r="D10" s="2" t="s">
        <v>21</v>
      </c>
      <c r="E10" s="9">
        <v>9.6</v>
      </c>
      <c r="F10" s="30"/>
      <c r="G10" s="30"/>
      <c r="H10" s="30"/>
      <c r="I10" s="30"/>
      <c r="J10" s="30"/>
      <c r="K10" s="30"/>
    </row>
    <row r="11" spans="1:11" ht="12.75">
      <c r="A11" s="30"/>
      <c r="B11" s="30"/>
      <c r="C11" s="2" t="s">
        <v>23</v>
      </c>
      <c r="D11" s="2" t="s">
        <v>24</v>
      </c>
      <c r="E11" s="9">
        <v>31.67</v>
      </c>
      <c r="F11" s="30"/>
      <c r="G11" s="30"/>
      <c r="H11" s="30"/>
      <c r="I11" s="30"/>
      <c r="J11" s="30"/>
      <c r="K11" s="30"/>
    </row>
    <row r="12" spans="1:11" ht="12.75">
      <c r="A12" s="30"/>
      <c r="B12" s="30" t="s">
        <v>4</v>
      </c>
      <c r="C12" s="2" t="s">
        <v>20</v>
      </c>
      <c r="D12" s="2" t="s">
        <v>21</v>
      </c>
      <c r="E12" s="9">
        <v>82.6</v>
      </c>
      <c r="F12" s="29">
        <v>9.4670000000000005</v>
      </c>
      <c r="G12" s="35">
        <f>SUM(E12:E14)+F12</f>
        <v>180.99699999999999</v>
      </c>
      <c r="H12" s="35">
        <f>G12/6.9</f>
        <v>26.231449275362316</v>
      </c>
      <c r="I12" s="29">
        <v>35.630000000000003</v>
      </c>
      <c r="J12" s="29">
        <v>31.56</v>
      </c>
      <c r="K12" s="29">
        <v>60.8</v>
      </c>
    </row>
    <row r="13" spans="1:11" ht="12.75">
      <c r="A13" s="30"/>
      <c r="B13" s="30"/>
      <c r="C13" s="2" t="s">
        <v>22</v>
      </c>
      <c r="D13" s="2" t="s">
        <v>21</v>
      </c>
      <c r="E13" s="9">
        <v>25.6</v>
      </c>
      <c r="F13" s="30"/>
      <c r="G13" s="30"/>
      <c r="H13" s="30"/>
      <c r="I13" s="30"/>
      <c r="J13" s="30"/>
      <c r="K13" s="30"/>
    </row>
    <row r="14" spans="1:11" ht="12.75">
      <c r="A14" s="30"/>
      <c r="B14" s="30"/>
      <c r="C14" s="2" t="s">
        <v>23</v>
      </c>
      <c r="D14" s="2" t="s">
        <v>24</v>
      </c>
      <c r="E14" s="9">
        <v>63.33</v>
      </c>
      <c r="F14" s="30"/>
      <c r="G14" s="30"/>
      <c r="H14" s="30"/>
      <c r="I14" s="30"/>
      <c r="J14" s="30"/>
      <c r="K14" s="30"/>
    </row>
    <row r="15" spans="1:11" ht="12.75">
      <c r="A15" s="30"/>
      <c r="B15" s="30" t="s">
        <v>5</v>
      </c>
      <c r="C15" s="2" t="s">
        <v>20</v>
      </c>
      <c r="D15" s="2" t="s">
        <v>25</v>
      </c>
      <c r="E15" s="9">
        <v>185.41</v>
      </c>
      <c r="F15" s="29">
        <v>21.175000000000001</v>
      </c>
      <c r="G15" s="35">
        <f>SUM(E15:E17)+F15</f>
        <v>427.005</v>
      </c>
      <c r="H15" s="35">
        <f>G15/6.9</f>
        <v>61.884782608695652</v>
      </c>
      <c r="I15" s="29">
        <v>82.62</v>
      </c>
      <c r="J15" s="29">
        <v>73.180000000000007</v>
      </c>
      <c r="K15" s="29">
        <v>128</v>
      </c>
    </row>
    <row r="16" spans="1:11" ht="12.75">
      <c r="A16" s="30"/>
      <c r="B16" s="30"/>
      <c r="C16" s="2" t="s">
        <v>22</v>
      </c>
      <c r="D16" s="2" t="s">
        <v>21</v>
      </c>
      <c r="E16" s="9">
        <v>53.17</v>
      </c>
      <c r="F16" s="30"/>
      <c r="G16" s="30"/>
      <c r="H16" s="30"/>
      <c r="I16" s="30"/>
      <c r="J16" s="30"/>
      <c r="K16" s="30"/>
    </row>
    <row r="17" spans="1:11" ht="12.75">
      <c r="A17" s="30"/>
      <c r="B17" s="30"/>
      <c r="C17" s="2" t="s">
        <v>23</v>
      </c>
      <c r="D17" s="2" t="s">
        <v>24</v>
      </c>
      <c r="E17" s="9">
        <v>167.25</v>
      </c>
      <c r="F17" s="30"/>
      <c r="G17" s="30"/>
      <c r="H17" s="30"/>
      <c r="I17" s="30"/>
      <c r="J17" s="30"/>
      <c r="K17" s="30"/>
    </row>
  </sheetData>
  <mergeCells count="39">
    <mergeCell ref="G12:G14"/>
    <mergeCell ref="G15:G17"/>
    <mergeCell ref="B3:B5"/>
    <mergeCell ref="B6:B8"/>
    <mergeCell ref="B9:B11"/>
    <mergeCell ref="B12:B14"/>
    <mergeCell ref="B15:B17"/>
    <mergeCell ref="A1:B1"/>
    <mergeCell ref="C1:H1"/>
    <mergeCell ref="F3:F5"/>
    <mergeCell ref="F6:F8"/>
    <mergeCell ref="F9:F11"/>
    <mergeCell ref="G6:G8"/>
    <mergeCell ref="G9:G11"/>
    <mergeCell ref="G3:G5"/>
    <mergeCell ref="A3:A17"/>
    <mergeCell ref="H3:H5"/>
    <mergeCell ref="H6:H8"/>
    <mergeCell ref="H9:H11"/>
    <mergeCell ref="H12:H14"/>
    <mergeCell ref="H15:H17"/>
    <mergeCell ref="F12:F14"/>
    <mergeCell ref="F15:F17"/>
    <mergeCell ref="J15:J17"/>
    <mergeCell ref="I1:K1"/>
    <mergeCell ref="J3:J5"/>
    <mergeCell ref="J6:J8"/>
    <mergeCell ref="J9:J11"/>
    <mergeCell ref="J12:J14"/>
    <mergeCell ref="I3:I5"/>
    <mergeCell ref="I6:I8"/>
    <mergeCell ref="I9:I11"/>
    <mergeCell ref="I12:I14"/>
    <mergeCell ref="I15:I17"/>
    <mergeCell ref="K3:K5"/>
    <mergeCell ref="K6:K8"/>
    <mergeCell ref="K9:K11"/>
    <mergeCell ref="K12:K14"/>
    <mergeCell ref="K15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 - HAKAM</dc:creator>
  <cp:lastModifiedBy>hakam bader</cp:lastModifiedBy>
  <dcterms:created xsi:type="dcterms:W3CDTF">2025-10-17T14:54:55Z</dcterms:created>
  <dcterms:modified xsi:type="dcterms:W3CDTF">2026-05-29T07:47:40Z</dcterms:modified>
</cp:coreProperties>
</file>